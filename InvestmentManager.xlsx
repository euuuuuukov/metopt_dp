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activeTab="1"/>
  </bookViews>
  <sheets>
    <sheet name="ЭТАПЫ" sheetId="1" r:id="rId1"/>
    <sheet name="Решение" sheetId="2" r:id="rId2"/>
  </sheets>
  <definedNames>
    <definedName name="solver_adj" localSheetId="1" hidden="1">Решение!$B$11:$D$11,Решение!$B$28:$D$28,Решение!$B$45:$D$45</definedName>
    <definedName name="solver_cvg" localSheetId="1" hidden="1">0.00001</definedName>
    <definedName name="solver_drv" localSheetId="1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itr" localSheetId="1" hidden="1">2147483647</definedName>
    <definedName name="solver_lhs0" localSheetId="1" hidden="1">Решение!$E$12</definedName>
    <definedName name="solver_lhs1" localSheetId="1" hidden="1">Решение!$B$11</definedName>
    <definedName name="solver_lhs10" localSheetId="1" hidden="1">Решение!$C$45</definedName>
    <definedName name="solver_lhs11" localSheetId="1" hidden="1">Решение!$C$32</definedName>
    <definedName name="solver_lhs12" localSheetId="1" hidden="1">Решение!$D$11</definedName>
    <definedName name="solver_lhs13" localSheetId="1" hidden="1">Решение!$C$49</definedName>
    <definedName name="solver_lhs14" localSheetId="1" hidden="1">Решение!$D$28</definedName>
    <definedName name="solver_lhs15" localSheetId="1" hidden="1">Решение!$D$15</definedName>
    <definedName name="solver_lhs16" localSheetId="1" hidden="1">Решение!$D$45</definedName>
    <definedName name="solver_lhs17" localSheetId="1" hidden="1">Решение!$D$32</definedName>
    <definedName name="solver_lhs18" localSheetId="1" hidden="1">Решение!$D$49</definedName>
    <definedName name="solver_lhs19" localSheetId="1" hidden="1">Решение!$E$29</definedName>
    <definedName name="solver_lhs2" localSheetId="1" hidden="1">Решение!$B$28</definedName>
    <definedName name="solver_lhs20" localSheetId="1" hidden="1">Решение!$E$12</definedName>
    <definedName name="solver_lhs21" localSheetId="1" hidden="1">Решение!$E$46</definedName>
    <definedName name="solver_lhs22" localSheetId="1" hidden="1">Решение!$E$12</definedName>
    <definedName name="solver_lhs3" localSheetId="1" hidden="1">Решение!$B$15</definedName>
    <definedName name="solver_lhs4" localSheetId="1" hidden="1">Решение!$B$45</definedName>
    <definedName name="solver_lhs5" localSheetId="1" hidden="1">Решение!$B$32</definedName>
    <definedName name="solver_lhs6" localSheetId="1" hidden="1">Решение!$C$11</definedName>
    <definedName name="solver_lhs7" localSheetId="1" hidden="1">Решение!$B$49</definedName>
    <definedName name="solver_lhs8" localSheetId="1" hidden="1">Решение!$C$28</definedName>
    <definedName name="solver_lhs9" localSheetId="1" hidden="1">Решение!$C$15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eg" localSheetId="0" hidden="1">1</definedName>
    <definedName name="solver_nod" localSheetId="1" hidden="1">2147483647</definedName>
    <definedName name="solver_num" localSheetId="1" hidden="1">21</definedName>
    <definedName name="solver_num" localSheetId="0" hidden="1">0</definedName>
    <definedName name="solver_nwt" localSheetId="1" hidden="1">1</definedName>
    <definedName name="solver_opt" localSheetId="1" hidden="1">Решение!$E$58</definedName>
    <definedName name="solver_opt" localSheetId="0" hidden="1">ЭТАПЫ!#REF!</definedName>
    <definedName name="solver_pre" localSheetId="1" hidden="1">0.00001</definedName>
    <definedName name="solver_rbv" localSheetId="1" hidden="1">2</definedName>
    <definedName name="solver_rel0" localSheetId="1" hidden="1">3</definedName>
    <definedName name="solver_rel1" localSheetId="1" hidden="1">4</definedName>
    <definedName name="solver_rel10" localSheetId="1" hidden="1">4</definedName>
    <definedName name="solver_rel11" localSheetId="1" hidden="1">3</definedName>
    <definedName name="solver_rel12" localSheetId="1" hidden="1">4</definedName>
    <definedName name="solver_rel13" localSheetId="1" hidden="1">3</definedName>
    <definedName name="solver_rel14" localSheetId="1" hidden="1">4</definedName>
    <definedName name="solver_rel15" localSheetId="1" hidden="1">3</definedName>
    <definedName name="solver_rel16" localSheetId="1" hidden="1">4</definedName>
    <definedName name="solver_rel17" localSheetId="1" hidden="1">3</definedName>
    <definedName name="solver_rel18" localSheetId="1" hidden="1">3</definedName>
    <definedName name="solver_rel19" localSheetId="1" hidden="1">3</definedName>
    <definedName name="solver_rel2" localSheetId="1" hidden="1">4</definedName>
    <definedName name="solver_rel20" localSheetId="1" hidden="1">3</definedName>
    <definedName name="solver_rel21" localSheetId="1" hidden="1">3</definedName>
    <definedName name="solver_rel22" localSheetId="1" hidden="1">3</definedName>
    <definedName name="solver_rel3" localSheetId="1" hidden="1">3</definedName>
    <definedName name="solver_rel4" localSheetId="1" hidden="1">4</definedName>
    <definedName name="solver_rel5" localSheetId="1" hidden="1">3</definedName>
    <definedName name="solver_rel6" localSheetId="1" hidden="1">4</definedName>
    <definedName name="solver_rel7" localSheetId="1" hidden="1">3</definedName>
    <definedName name="solver_rel8" localSheetId="1" hidden="1">4</definedName>
    <definedName name="solver_rel9" localSheetId="1" hidden="1">3</definedName>
    <definedName name="solver_rhs0" localSheetId="1" hidden="1">0</definedName>
    <definedName name="solver_rhs1" localSheetId="1" hidden="1">"целое"</definedName>
    <definedName name="solver_rhs10" localSheetId="1" hidden="1">"целое"</definedName>
    <definedName name="solver_rhs11" localSheetId="1" hidden="1">Решение!$C$5</definedName>
    <definedName name="solver_rhs12" localSheetId="1" hidden="1">"целое"</definedName>
    <definedName name="solver_rhs13" localSheetId="1" hidden="1">Решение!$C$5</definedName>
    <definedName name="solver_rhs14" localSheetId="1" hidden="1">"целое"</definedName>
    <definedName name="solver_rhs15" localSheetId="1" hidden="1">Решение!$D$5</definedName>
    <definedName name="solver_rhs16" localSheetId="1" hidden="1">"целое"</definedName>
    <definedName name="solver_rhs17" localSheetId="1" hidden="1">Решение!$D$5</definedName>
    <definedName name="solver_rhs18" localSheetId="1" hidden="1">Решение!$D$5</definedName>
    <definedName name="solver_rhs19" localSheetId="1" hidden="1">0</definedName>
    <definedName name="solver_rhs2" localSheetId="1" hidden="1">"целое"</definedName>
    <definedName name="solver_rhs20" localSheetId="1" hidden="1">0</definedName>
    <definedName name="solver_rhs21" localSheetId="1" hidden="1">0</definedName>
    <definedName name="solver_rhs22" localSheetId="1" hidden="1">0</definedName>
    <definedName name="solver_rhs3" localSheetId="1" hidden="1">Решение!$B$5</definedName>
    <definedName name="solver_rhs4" localSheetId="1" hidden="1">"целое"</definedName>
    <definedName name="solver_rhs5" localSheetId="1" hidden="1">Решение!$B$5</definedName>
    <definedName name="solver_rhs6" localSheetId="1" hidden="1">"целое"</definedName>
    <definedName name="solver_rhs7" localSheetId="1" hidden="1">Решение!$B$5</definedName>
    <definedName name="solver_rhs8" localSheetId="1" hidden="1">"целое"</definedName>
    <definedName name="solver_rhs9" localSheetId="1" hidden="1">Решение!$C$5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</definedName>
    <definedName name="solver_typ" localSheetId="1" hidden="1">1</definedName>
    <definedName name="solver_typ" localSheetId="0" hidden="1">1</definedName>
    <definedName name="solver_val" localSheetId="1" hidden="1">10000</definedName>
    <definedName name="solver_val" localSheetId="0" hidden="1">0</definedName>
    <definedName name="solver_ver" localSheetId="1" hidden="1">3</definedName>
    <definedName name="solver_ver" localSheetId="0" hidden="1">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B12" i="2" l="1"/>
  <c r="B15" i="2" s="1"/>
  <c r="B21" i="2" s="1"/>
  <c r="C5" i="2"/>
  <c r="D5" i="2"/>
  <c r="B5" i="2"/>
  <c r="D46" i="2"/>
  <c r="C46" i="2"/>
  <c r="B46" i="2"/>
  <c r="C29" i="2"/>
  <c r="D29" i="2"/>
  <c r="B29" i="2"/>
  <c r="C15" i="2"/>
  <c r="C21" i="2" s="1"/>
  <c r="D12" i="2"/>
  <c r="D15" i="2" s="1"/>
  <c r="D19" i="2" s="1"/>
  <c r="E12" i="2" l="1"/>
  <c r="E29" i="2" s="1"/>
  <c r="E46" i="2" s="1"/>
  <c r="C19" i="2"/>
  <c r="B19" i="2"/>
  <c r="C20" i="2"/>
  <c r="D21" i="2"/>
  <c r="D20" i="2"/>
  <c r="B20" i="2"/>
  <c r="H10" i="2"/>
  <c r="H17" i="2"/>
  <c r="G33" i="2"/>
  <c r="G40" i="2"/>
  <c r="G15" i="2"/>
  <c r="I21" i="2"/>
  <c r="I44" i="2"/>
  <c r="G57" i="2"/>
  <c r="H11" i="2"/>
  <c r="G24" i="2"/>
  <c r="H30" i="2"/>
  <c r="G43" i="2"/>
  <c r="I8" i="2"/>
  <c r="I15" i="2"/>
  <c r="G28" i="2"/>
  <c r="I41" i="2"/>
  <c r="H20" i="2"/>
  <c r="I57" i="2"/>
  <c r="G11" i="2"/>
  <c r="I30" i="2"/>
  <c r="H42" i="2"/>
  <c r="H24" i="2"/>
  <c r="G18" i="2"/>
  <c r="I24" i="2"/>
  <c r="H40" i="2"/>
  <c r="I46" i="2"/>
  <c r="H43" i="2"/>
  <c r="G19" i="2"/>
  <c r="I25" i="2"/>
  <c r="G45" i="2"/>
  <c r="I51" i="2"/>
  <c r="G9" i="2"/>
  <c r="H15" i="2"/>
  <c r="G31" i="2"/>
  <c r="H9" i="2"/>
  <c r="H16" i="2"/>
  <c r="I7" i="2"/>
  <c r="I16" i="2"/>
  <c r="I35" i="2"/>
  <c r="G8" i="2"/>
  <c r="G27" i="2"/>
  <c r="H23" i="2"/>
  <c r="G21" i="2"/>
  <c r="G44" i="2"/>
  <c r="I12" i="2"/>
  <c r="H25" i="2"/>
  <c r="I31" i="2"/>
  <c r="H44" i="2"/>
  <c r="I50" i="2"/>
  <c r="I45" i="2"/>
  <c r="I13" i="2"/>
  <c r="H26" i="2"/>
  <c r="H33" i="2"/>
  <c r="H19" i="2"/>
  <c r="G35" i="2"/>
  <c r="G17" i="2"/>
  <c r="G29" i="2"/>
  <c r="H14" i="2"/>
  <c r="I26" i="2"/>
  <c r="G58" i="2"/>
  <c r="G14" i="2"/>
  <c r="I20" i="2"/>
  <c r="G52" i="2"/>
  <c r="I58" i="2"/>
  <c r="H50" i="2"/>
  <c r="H18" i="2"/>
  <c r="I28" i="2"/>
  <c r="H41" i="2"/>
  <c r="I47" i="2"/>
  <c r="H8" i="2"/>
  <c r="I14" i="2"/>
  <c r="H27" i="2"/>
  <c r="I33" i="2"/>
  <c r="G46" i="2"/>
  <c r="I52" i="2"/>
  <c r="H12" i="2"/>
  <c r="G25" i="2"/>
  <c r="H46" i="2"/>
  <c r="H7" i="2"/>
  <c r="H57" i="2"/>
  <c r="I34" i="2"/>
  <c r="H13" i="2"/>
  <c r="H51" i="2"/>
  <c r="I40" i="2"/>
  <c r="G20" i="2"/>
  <c r="I11" i="2"/>
  <c r="G7" i="2"/>
  <c r="H21" i="2"/>
  <c r="I43" i="2"/>
  <c r="H29" i="2"/>
  <c r="G42" i="2"/>
  <c r="H48" i="2"/>
  <c r="G12" i="2"/>
  <c r="I18" i="2"/>
  <c r="H34" i="2"/>
  <c r="G50" i="2"/>
  <c r="G13" i="2"/>
  <c r="I19" i="2"/>
  <c r="I23" i="2"/>
  <c r="G26" i="2"/>
  <c r="I17" i="2"/>
  <c r="G47" i="2"/>
  <c r="H45" i="2"/>
  <c r="I9" i="2"/>
  <c r="H28" i="2"/>
  <c r="H47" i="2"/>
  <c r="I10" i="2"/>
  <c r="G30" i="2"/>
  <c r="H52" i="2"/>
  <c r="G16" i="2"/>
  <c r="G10" i="2"/>
  <c r="H58" i="2"/>
  <c r="H31" i="2"/>
  <c r="G48" i="2"/>
  <c r="I29" i="2"/>
  <c r="I27" i="2"/>
  <c r="G41" i="2"/>
  <c r="H35" i="2"/>
  <c r="G23" i="2"/>
  <c r="I42" i="2"/>
  <c r="G51" i="2"/>
  <c r="G34" i="2"/>
  <c r="I48" i="2"/>
  <c r="E20" i="2" l="1"/>
  <c r="B22" i="2"/>
  <c r="D22" i="2"/>
  <c r="C22" i="2"/>
  <c r="E21" i="2"/>
  <c r="E19" i="2"/>
  <c r="I22" i="2"/>
  <c r="G22" i="2"/>
  <c r="H22" i="2"/>
  <c r="D32" i="2" l="1"/>
  <c r="C32" i="2"/>
  <c r="B32" i="2"/>
  <c r="E22" i="2"/>
  <c r="I32" i="2"/>
  <c r="G32" i="2"/>
  <c r="H32" i="2"/>
  <c r="C38" i="2" l="1"/>
  <c r="C37" i="2"/>
  <c r="C36" i="2"/>
  <c r="B37" i="2"/>
  <c r="B38" i="2"/>
  <c r="B36" i="2"/>
  <c r="D38" i="2"/>
  <c r="D37" i="2"/>
  <c r="D36" i="2"/>
  <c r="I36" i="2"/>
  <c r="I37" i="2"/>
  <c r="I38" i="2"/>
  <c r="G38" i="2"/>
  <c r="G37" i="2"/>
  <c r="G36" i="2"/>
  <c r="H38" i="2"/>
  <c r="H36" i="2"/>
  <c r="H37" i="2"/>
  <c r="D39" i="2" l="1"/>
  <c r="E38" i="2"/>
  <c r="E36" i="2"/>
  <c r="B39" i="2"/>
  <c r="C39" i="2"/>
  <c r="E37" i="2"/>
  <c r="I39" i="2"/>
  <c r="G39" i="2"/>
  <c r="H39" i="2"/>
  <c r="D49" i="2" l="1"/>
  <c r="D53" i="2" s="1"/>
  <c r="B49" i="2"/>
  <c r="E39" i="2"/>
  <c r="C49" i="2"/>
  <c r="I49" i="2"/>
  <c r="I53" i="2"/>
  <c r="G49" i="2"/>
  <c r="H49" i="2"/>
  <c r="D54" i="2" l="1"/>
  <c r="D55" i="2"/>
  <c r="B55" i="2"/>
  <c r="C54" i="2"/>
  <c r="C55" i="2"/>
  <c r="C53" i="2"/>
  <c r="B54" i="2"/>
  <c r="B53" i="2"/>
  <c r="I54" i="2"/>
  <c r="I55" i="2"/>
  <c r="G55" i="2"/>
  <c r="G54" i="2"/>
  <c r="G53" i="2"/>
  <c r="H53" i="2"/>
  <c r="H54" i="2"/>
  <c r="H55" i="2"/>
  <c r="D56" i="2" l="1"/>
  <c r="B56" i="2"/>
  <c r="E53" i="2"/>
  <c r="E54" i="2"/>
  <c r="C56" i="2"/>
  <c r="E55" i="2"/>
  <c r="I56" i="2"/>
  <c r="G56" i="2"/>
  <c r="H56" i="2"/>
  <c r="E56" i="2" l="1"/>
  <c r="E58" i="2" s="1"/>
</calcChain>
</file>

<file path=xl/sharedStrings.xml><?xml version="1.0" encoding="utf-8"?>
<sst xmlns="http://schemas.openxmlformats.org/spreadsheetml/2006/main" count="112" uniqueCount="42">
  <si>
    <t>Ситуация</t>
  </si>
  <si>
    <t>Этап №1</t>
  </si>
  <si>
    <t>Этап №2</t>
  </si>
  <si>
    <t>Этап №3</t>
  </si>
  <si>
    <t>Вероят.</t>
  </si>
  <si>
    <t>ЦБ1</t>
  </si>
  <si>
    <t>ЦБ2</t>
  </si>
  <si>
    <t>Деп.</t>
  </si>
  <si>
    <t>Благопр.</t>
  </si>
  <si>
    <t>Нейтр.</t>
  </si>
  <si>
    <t>Негатив.</t>
  </si>
  <si>
    <t>Начальные данные</t>
  </si>
  <si>
    <t>Свободно</t>
  </si>
  <si>
    <t>Шаг изменения</t>
  </si>
  <si>
    <t>x1</t>
  </si>
  <si>
    <t>x2</t>
  </si>
  <si>
    <t>x3</t>
  </si>
  <si>
    <t>Результат в конце этапа</t>
  </si>
  <si>
    <t>Благоприятная</t>
  </si>
  <si>
    <t>Нейтральная</t>
  </si>
  <si>
    <t>Негативная</t>
  </si>
  <si>
    <t>Всего ЦБ1</t>
  </si>
  <si>
    <t>Всего ЦБ2</t>
  </si>
  <si>
    <t>Всего Деп.</t>
  </si>
  <si>
    <t>Итого</t>
  </si>
  <si>
    <t>Свободные деньги (остаток)</t>
  </si>
  <si>
    <t>Матожидание</t>
  </si>
  <si>
    <t>Переменные</t>
  </si>
  <si>
    <t>Начальные значения</t>
  </si>
  <si>
    <t>Сколько шагов добавить в ЦБ1</t>
  </si>
  <si>
    <t>Сколько шагов добавить в ЦБ2</t>
  </si>
  <si>
    <t>Сколько шагов добавить в Деп.</t>
  </si>
  <si>
    <t>Изменения в деньгах</t>
  </si>
  <si>
    <t>Этап 1</t>
  </si>
  <si>
    <t>Этап 2</t>
  </si>
  <si>
    <t>Этап 3</t>
  </si>
  <si>
    <t>Максимальнальная средневзвешенная сумма после всех этапов (ЦБ1 + ЦБ2 + Деп. + Свободные средства)</t>
  </si>
  <si>
    <t>Решение</t>
  </si>
  <si>
    <t>Формулы</t>
  </si>
  <si>
    <t>Ограничения, не менее</t>
  </si>
  <si>
    <t>Комиссии брокеров</t>
  </si>
  <si>
    <t>Минимальные ограничения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</si>
</sst>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19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35" xfId="0" applyFill="1" applyBorder="1" applyAlignment="1">
      <alignment vertical="center"/>
    </xf>
    <xf numFmtId="0" fontId="0" fillId="4" borderId="40" xfId="0" applyFill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4" xfId="0" applyFill="1" applyBorder="1" applyAlignment="1">
      <alignment vertical="center"/>
    </xf>
    <xf numFmtId="0" fontId="0" fillId="4" borderId="55" xfId="0" applyFill="1" applyBorder="1" applyAlignment="1">
      <alignment vertical="center"/>
    </xf>
    <xf numFmtId="0" fontId="0" fillId="4" borderId="48" xfId="0" applyFill="1" applyBorder="1" applyAlignment="1">
      <alignment vertical="center"/>
    </xf>
    <xf numFmtId="0" fontId="0" fillId="4" borderId="56" xfId="0" applyFill="1" applyBorder="1" applyAlignment="1">
      <alignment vertical="center"/>
    </xf>
    <xf numFmtId="0" fontId="0" fillId="4" borderId="50" xfId="0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5" borderId="43" xfId="0" applyNumberFormat="1" applyFill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9" fontId="0" fillId="4" borderId="10" xfId="1" applyFont="1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 vertical="center"/>
    </xf>
    <xf numFmtId="9" fontId="0" fillId="4" borderId="12" xfId="1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4" borderId="0" xfId="0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Normal="100" workbookViewId="0">
      <selection activeCell="J17" sqref="J17"/>
    </sheetView>
  </sheetViews>
  <sheetFormatPr defaultColWidth="0" defaultRowHeight="14.25" zeroHeight="1"/>
  <cols>
    <col min="1" max="1" width="19.25" style="15" bestFit="1" customWidth="1"/>
    <col min="2" max="2" width="8" style="15" bestFit="1" customWidth="1"/>
    <col min="3" max="3" width="5.25" style="15" bestFit="1" customWidth="1"/>
    <col min="4" max="4" width="5.25" style="45" bestFit="1" customWidth="1"/>
    <col min="5" max="5" width="10.375" style="45" bestFit="1" customWidth="1"/>
    <col min="6" max="6" width="8" style="45" bestFit="1" customWidth="1"/>
    <col min="7" max="8" width="4.625" style="45" bestFit="1" customWidth="1"/>
    <col min="9" max="9" width="5.25" style="45" bestFit="1" customWidth="1"/>
    <col min="10" max="10" width="8" style="45" bestFit="1" customWidth="1"/>
    <col min="11" max="12" width="4.625" style="45" bestFit="1" customWidth="1"/>
    <col min="13" max="13" width="5.25" style="45" bestFit="1" customWidth="1"/>
    <col min="14" max="16384" width="9.125" style="45" hidden="1"/>
  </cols>
  <sheetData>
    <row r="1" spans="1:13" s="15" customFormat="1" ht="15">
      <c r="A1" s="109" t="s">
        <v>0</v>
      </c>
      <c r="B1" s="111" t="s">
        <v>1</v>
      </c>
      <c r="C1" s="112"/>
      <c r="D1" s="112"/>
      <c r="E1" s="113"/>
      <c r="F1" s="111" t="s">
        <v>2</v>
      </c>
      <c r="G1" s="112"/>
      <c r="H1" s="112"/>
      <c r="I1" s="113"/>
      <c r="J1" s="111" t="s">
        <v>3</v>
      </c>
      <c r="K1" s="112"/>
      <c r="L1" s="112"/>
      <c r="M1" s="113"/>
    </row>
    <row r="2" spans="1:13" s="15" customFormat="1" ht="15.75" thickBot="1">
      <c r="A2" s="110"/>
      <c r="B2" s="8" t="s">
        <v>4</v>
      </c>
      <c r="C2" s="9" t="s">
        <v>5</v>
      </c>
      <c r="D2" s="9" t="s">
        <v>6</v>
      </c>
      <c r="E2" s="10" t="s">
        <v>7</v>
      </c>
      <c r="F2" s="8" t="s">
        <v>4</v>
      </c>
      <c r="G2" s="9" t="s">
        <v>5</v>
      </c>
      <c r="H2" s="9" t="s">
        <v>6</v>
      </c>
      <c r="I2" s="10" t="s">
        <v>7</v>
      </c>
      <c r="J2" s="8" t="s">
        <v>4</v>
      </c>
      <c r="K2" s="9" t="s">
        <v>5</v>
      </c>
      <c r="L2" s="9" t="s">
        <v>6</v>
      </c>
      <c r="M2" s="10" t="s">
        <v>7</v>
      </c>
    </row>
    <row r="3" spans="1:13" s="15" customFormat="1" ht="15">
      <c r="A3" s="5" t="s">
        <v>8</v>
      </c>
      <c r="B3" s="20">
        <v>0.6</v>
      </c>
      <c r="C3" s="21">
        <v>1.2</v>
      </c>
      <c r="D3" s="21">
        <v>1.1000000000000001</v>
      </c>
      <c r="E3" s="22">
        <v>1.07</v>
      </c>
      <c r="F3" s="20">
        <v>0.3</v>
      </c>
      <c r="G3" s="21">
        <v>1.4</v>
      </c>
      <c r="H3" s="21">
        <v>1.1499999999999999</v>
      </c>
      <c r="I3" s="22">
        <v>1.01</v>
      </c>
      <c r="J3" s="20">
        <v>0.4</v>
      </c>
      <c r="K3" s="21">
        <v>1.1499999999999999</v>
      </c>
      <c r="L3" s="21">
        <v>1.1200000000000001</v>
      </c>
      <c r="M3" s="22">
        <v>1.05</v>
      </c>
    </row>
    <row r="4" spans="1:13" s="15" customFormat="1" ht="15">
      <c r="A4" s="6" t="s">
        <v>9</v>
      </c>
      <c r="B4" s="23">
        <v>0.3</v>
      </c>
      <c r="C4" s="17">
        <v>1.05</v>
      </c>
      <c r="D4" s="17">
        <v>1.02</v>
      </c>
      <c r="E4" s="19">
        <v>1.03</v>
      </c>
      <c r="F4" s="23">
        <v>0.2</v>
      </c>
      <c r="G4" s="17">
        <v>1.05</v>
      </c>
      <c r="H4" s="17">
        <v>1</v>
      </c>
      <c r="I4" s="19">
        <v>1</v>
      </c>
      <c r="J4" s="23">
        <v>0.4</v>
      </c>
      <c r="K4" s="17">
        <v>1.05</v>
      </c>
      <c r="L4" s="17">
        <v>1.01</v>
      </c>
      <c r="M4" s="19">
        <v>1.01</v>
      </c>
    </row>
    <row r="5" spans="1:13" s="15" customFormat="1" ht="15.75" thickBot="1">
      <c r="A5" s="7" t="s">
        <v>10</v>
      </c>
      <c r="B5" s="24">
        <v>0.1</v>
      </c>
      <c r="C5" s="18">
        <v>0.8</v>
      </c>
      <c r="D5" s="18">
        <v>0.95</v>
      </c>
      <c r="E5" s="25">
        <v>1</v>
      </c>
      <c r="F5" s="24">
        <v>0.5</v>
      </c>
      <c r="G5" s="18">
        <v>0.6</v>
      </c>
      <c r="H5" s="18">
        <v>0.9</v>
      </c>
      <c r="I5" s="25">
        <v>1</v>
      </c>
      <c r="J5" s="24">
        <v>0.2</v>
      </c>
      <c r="K5" s="18">
        <v>0.7</v>
      </c>
      <c r="L5" s="18">
        <v>0.94</v>
      </c>
      <c r="M5" s="25">
        <v>1</v>
      </c>
    </row>
    <row r="6" spans="1:13" s="15" customFormat="1" ht="15.75" thickBot="1">
      <c r="A6" s="45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3" ht="15.75" thickBot="1">
      <c r="A7" s="44"/>
      <c r="B7" s="36" t="s">
        <v>5</v>
      </c>
      <c r="C7" s="37" t="s">
        <v>6</v>
      </c>
      <c r="D7" s="37" t="s">
        <v>7</v>
      </c>
      <c r="E7" s="4" t="s">
        <v>12</v>
      </c>
    </row>
    <row r="8" spans="1:13" ht="15.75" thickBot="1">
      <c r="A8" s="3" t="s">
        <v>11</v>
      </c>
      <c r="B8" s="26">
        <v>100</v>
      </c>
      <c r="C8" s="26">
        <v>800</v>
      </c>
      <c r="D8" s="26">
        <v>400</v>
      </c>
      <c r="E8" s="54">
        <v>600</v>
      </c>
    </row>
    <row r="9" spans="1:13" ht="15.75" thickBot="1">
      <c r="A9" s="8" t="s">
        <v>13</v>
      </c>
      <c r="B9" s="27">
        <v>25</v>
      </c>
      <c r="C9" s="27">
        <v>200</v>
      </c>
      <c r="D9" s="53">
        <v>100</v>
      </c>
    </row>
    <row r="10" spans="1:13" ht="15.75" thickBot="1">
      <c r="A10" s="45"/>
      <c r="B10" s="45"/>
      <c r="C10" s="45"/>
    </row>
    <row r="11" spans="1:13" ht="15">
      <c r="A11" s="114" t="s">
        <v>39</v>
      </c>
      <c r="B11" s="115"/>
      <c r="C11" s="116"/>
    </row>
    <row r="12" spans="1:13" ht="15">
      <c r="A12" s="92" t="s">
        <v>5</v>
      </c>
      <c r="B12" s="91" t="s">
        <v>6</v>
      </c>
      <c r="C12" s="93" t="s">
        <v>7</v>
      </c>
    </row>
    <row r="13" spans="1:13" ht="15.75" thickBot="1">
      <c r="A13" s="94">
        <v>30</v>
      </c>
      <c r="B13" s="95">
        <v>150</v>
      </c>
      <c r="C13" s="52">
        <v>100</v>
      </c>
    </row>
    <row r="14" spans="1:13" ht="15.75" thickBot="1">
      <c r="A14" s="45"/>
      <c r="B14" s="45"/>
      <c r="C14" s="45"/>
    </row>
    <row r="15" spans="1:13" ht="15">
      <c r="A15" s="114" t="s">
        <v>40</v>
      </c>
      <c r="B15" s="115"/>
      <c r="C15" s="116"/>
    </row>
    <row r="16" spans="1:13" ht="15">
      <c r="A16" s="92" t="s">
        <v>5</v>
      </c>
      <c r="B16" s="91" t="s">
        <v>6</v>
      </c>
      <c r="C16" s="93" t="s">
        <v>7</v>
      </c>
    </row>
    <row r="17" spans="1:3" ht="15.75" thickBot="1">
      <c r="A17" s="96">
        <v>0.04</v>
      </c>
      <c r="B17" s="97">
        <v>7.0000000000000007E-2</v>
      </c>
      <c r="C17" s="98">
        <v>0.05</v>
      </c>
    </row>
  </sheetData>
  <mergeCells count="6">
    <mergeCell ref="A1:A2"/>
    <mergeCell ref="B1:E1"/>
    <mergeCell ref="F1:I1"/>
    <mergeCell ref="J1:M1"/>
    <mergeCell ref="A15:C15"/>
    <mergeCell ref="A11:C11"/>
  </mergeCell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abSelected="1" topLeftCell="B37" zoomScale="60" zoomScaleNormal="60" workbookViewId="0">
      <selection activeCell="D22" sqref="D22"/>
    </sheetView>
  </sheetViews>
  <sheetFormatPr defaultColWidth="0" defaultRowHeight="14.25" zeroHeight="1"/>
  <cols>
    <col min="1" max="1" width="21.875" style="15" bestFit="1" customWidth="1"/>
    <col min="2" max="3" width="31.125" style="15" bestFit="1" customWidth="1"/>
    <col min="4" max="4" width="31.625" style="15" bestFit="1" customWidth="1"/>
    <col min="5" max="5" width="29.125" style="15" bestFit="1" customWidth="1"/>
    <col min="6" max="6" width="9.125" style="45" customWidth="1"/>
    <col min="7" max="7" width="44.75" style="15" bestFit="1" customWidth="1"/>
    <col min="8" max="9" width="45.125" style="15" bestFit="1" customWidth="1"/>
    <col min="10" max="10" width="45.125" style="15" hidden="1" customWidth="1"/>
    <col min="11" max="11" width="50.375" style="15" hidden="1" customWidth="1"/>
    <col min="12" max="12" width="28.125" style="15" hidden="1" customWidth="1"/>
    <col min="13" max="16384" width="9.125" style="15" hidden="1"/>
  </cols>
  <sheetData>
    <row r="1" spans="1:10" ht="15.75" thickBot="1">
      <c r="A1" s="117" t="s">
        <v>37</v>
      </c>
      <c r="B1" s="118"/>
      <c r="C1" s="118"/>
      <c r="D1" s="118"/>
      <c r="E1" s="119"/>
      <c r="G1" s="117" t="s">
        <v>38</v>
      </c>
      <c r="H1" s="118"/>
      <c r="I1" s="119"/>
      <c r="J1" s="100"/>
    </row>
    <row r="2" spans="1:10" ht="15.75" thickBot="1">
      <c r="A2" s="102"/>
      <c r="B2" s="103"/>
      <c r="C2" s="103"/>
      <c r="D2" s="103"/>
      <c r="E2" s="104"/>
      <c r="G2" s="102"/>
      <c r="H2" s="103"/>
      <c r="I2" s="104"/>
      <c r="J2" s="100"/>
    </row>
    <row r="3" spans="1:10" ht="15">
      <c r="A3" s="102"/>
      <c r="B3" s="111" t="s">
        <v>41</v>
      </c>
      <c r="C3" s="112"/>
      <c r="D3" s="113"/>
      <c r="E3" s="104"/>
      <c r="G3" s="102"/>
      <c r="H3" s="103"/>
      <c r="I3" s="104"/>
      <c r="J3" s="100"/>
    </row>
    <row r="4" spans="1:10" ht="15.75" thickBot="1">
      <c r="A4" s="102"/>
      <c r="B4" s="105" t="s">
        <v>5</v>
      </c>
      <c r="C4" s="28" t="s">
        <v>6</v>
      </c>
      <c r="D4" s="33" t="s">
        <v>7</v>
      </c>
      <c r="E4" s="104"/>
      <c r="G4" s="102"/>
      <c r="H4" s="103"/>
      <c r="I4" s="104"/>
      <c r="J4" s="100"/>
    </row>
    <row r="5" spans="1:10" ht="15.75" thickBot="1">
      <c r="A5" s="102"/>
      <c r="B5" s="106">
        <f>ЭТАПЫ!A13</f>
        <v>30</v>
      </c>
      <c r="C5" s="107">
        <f>ЭТАПЫ!B13</f>
        <v>150</v>
      </c>
      <c r="D5" s="108">
        <f>ЭТАПЫ!C13</f>
        <v>100</v>
      </c>
      <c r="E5" s="104"/>
      <c r="G5" s="102"/>
      <c r="H5" s="103"/>
      <c r="I5" s="104"/>
      <c r="J5" s="100"/>
    </row>
    <row r="6" spans="1:10" ht="15.75" thickBot="1">
      <c r="A6" s="44"/>
      <c r="B6" s="45"/>
      <c r="C6" s="45"/>
      <c r="D6" s="45"/>
      <c r="E6" s="62"/>
      <c r="G6" s="44"/>
      <c r="H6" s="101"/>
      <c r="I6" s="62"/>
      <c r="J6" s="101"/>
    </row>
    <row r="7" spans="1:10" ht="15.75" thickBot="1">
      <c r="A7" s="117" t="s">
        <v>33</v>
      </c>
      <c r="B7" s="118"/>
      <c r="C7" s="118"/>
      <c r="D7" s="118"/>
      <c r="E7" s="119"/>
      <c r="G7" s="16">
        <f ca="1">IFERROR(_xlfn.FORMULATEXT(B7),B7)</f>
        <v>0</v>
      </c>
      <c r="H7" s="34">
        <f ca="1">IFERROR(_xlfn.FORMULATEXT(C7),C7)</f>
        <v>0</v>
      </c>
      <c r="I7" s="35">
        <f ca="1">IFERROR(_xlfn.FORMULATEXT(D7),D7)</f>
        <v>0</v>
      </c>
    </row>
    <row r="8" spans="1:10" ht="15">
      <c r="A8" s="50"/>
      <c r="B8" s="127" t="s">
        <v>27</v>
      </c>
      <c r="C8" s="112"/>
      <c r="D8" s="113"/>
      <c r="E8" s="120" t="s">
        <v>25</v>
      </c>
      <c r="G8" s="11" t="str">
        <f t="shared" ref="G8:G58" ca="1" si="0">IFERROR(_xlfn.FORMULATEXT(B8),B8)</f>
        <v>Переменные</v>
      </c>
      <c r="H8" s="12">
        <f t="shared" ref="H8:H58" ca="1" si="1">IFERROR(_xlfn.FORMULATEXT(C8),C8)</f>
        <v>0</v>
      </c>
      <c r="I8" s="13">
        <f t="shared" ref="I8:I58" ca="1" si="2">IFERROR(_xlfn.FORMULATEXT(D8),D8)</f>
        <v>0</v>
      </c>
    </row>
    <row r="9" spans="1:10" ht="15">
      <c r="A9" s="51"/>
      <c r="B9" s="2" t="s">
        <v>29</v>
      </c>
      <c r="C9" s="1" t="s">
        <v>30</v>
      </c>
      <c r="D9" s="55" t="s">
        <v>31</v>
      </c>
      <c r="E9" s="121"/>
      <c r="G9" s="11" t="str">
        <f t="shared" ca="1" si="0"/>
        <v>Сколько шагов добавить в ЦБ1</v>
      </c>
      <c r="H9" s="12" t="str">
        <f t="shared" ca="1" si="1"/>
        <v>Сколько шагов добавить в ЦБ2</v>
      </c>
      <c r="I9" s="13" t="str">
        <f t="shared" ca="1" si="2"/>
        <v>Сколько шагов добавить в Деп.</v>
      </c>
    </row>
    <row r="10" spans="1:10" ht="15.75" thickBot="1">
      <c r="A10" s="51"/>
      <c r="B10" s="99" t="s">
        <v>14</v>
      </c>
      <c r="C10" s="9" t="s">
        <v>15</v>
      </c>
      <c r="D10" s="10" t="s">
        <v>16</v>
      </c>
      <c r="E10" s="121"/>
      <c r="G10" s="11" t="str">
        <f t="shared" ca="1" si="0"/>
        <v>x1</v>
      </c>
      <c r="H10" s="12" t="str">
        <f t="shared" ca="1" si="1"/>
        <v>x2</v>
      </c>
      <c r="I10" s="13" t="str">
        <f t="shared" ca="1" si="2"/>
        <v>x3</v>
      </c>
    </row>
    <row r="11" spans="1:10" ht="15" thickBot="1">
      <c r="A11" s="47"/>
      <c r="B11" s="42">
        <v>2</v>
      </c>
      <c r="C11" s="29">
        <v>0</v>
      </c>
      <c r="D11" s="30">
        <v>5</v>
      </c>
      <c r="E11" s="121"/>
      <c r="G11" s="11">
        <f t="shared" ca="1" si="0"/>
        <v>2</v>
      </c>
      <c r="H11" s="12">
        <f t="shared" ca="1" si="1"/>
        <v>0</v>
      </c>
      <c r="I11" s="13">
        <f t="shared" ca="1" si="2"/>
        <v>5</v>
      </c>
    </row>
    <row r="12" spans="1:10" ht="15.75" thickBot="1">
      <c r="A12" s="41" t="s">
        <v>32</v>
      </c>
      <c r="B12" s="67">
        <f>B11*ЭТАПЫ!B9</f>
        <v>50</v>
      </c>
      <c r="C12" s="68">
        <f>C11*ЭТАПЫ!C9</f>
        <v>0</v>
      </c>
      <c r="D12" s="69">
        <f>D11*ЭТАПЫ!D9</f>
        <v>500</v>
      </c>
      <c r="E12" s="70">
        <f>ЭТАПЫ!E8-B12-C12-D12-ABS(Решение!B12)*ЭТАПЫ!A17-ABS(Решение!C12)*ЭТАПЫ!B17-ABS(Решение!D12)*ЭТАПЫ!C17</f>
        <v>23</v>
      </c>
      <c r="G12" s="11">
        <f t="shared" ca="1" si="0"/>
        <v>50</v>
      </c>
      <c r="H12" s="12">
        <f t="shared" ca="1" si="1"/>
        <v>0</v>
      </c>
      <c r="I12" s="13">
        <f t="shared" ca="1" si="2"/>
        <v>500</v>
      </c>
    </row>
    <row r="13" spans="1:10" ht="15.75" thickBot="1">
      <c r="A13" s="58"/>
      <c r="B13" s="48"/>
      <c r="C13" s="48"/>
      <c r="D13" s="48"/>
      <c r="E13" s="59"/>
      <c r="G13" s="11">
        <f t="shared" ca="1" si="0"/>
        <v>0</v>
      </c>
      <c r="H13" s="12">
        <f t="shared" ca="1" si="1"/>
        <v>0</v>
      </c>
      <c r="I13" s="13">
        <f t="shared" ca="1" si="2"/>
        <v>0</v>
      </c>
    </row>
    <row r="14" spans="1:10" ht="15.75" thickBot="1">
      <c r="A14" s="120" t="s">
        <v>28</v>
      </c>
      <c r="B14" s="36" t="s">
        <v>21</v>
      </c>
      <c r="C14" s="37" t="s">
        <v>22</v>
      </c>
      <c r="D14" s="38" t="s">
        <v>23</v>
      </c>
      <c r="E14" s="51"/>
      <c r="G14" s="11" t="str">
        <f t="shared" ca="1" si="0"/>
        <v>Всего ЦБ1</v>
      </c>
      <c r="H14" s="12" t="str">
        <f t="shared" ca="1" si="1"/>
        <v>Всего ЦБ2</v>
      </c>
      <c r="I14" s="13" t="str">
        <f t="shared" ca="1" si="2"/>
        <v>Всего Деп.</v>
      </c>
    </row>
    <row r="15" spans="1:10" ht="15" thickBot="1">
      <c r="A15" s="126"/>
      <c r="B15" s="67">
        <f>ЭТАПЫ!B8+B12</f>
        <v>150</v>
      </c>
      <c r="C15" s="68">
        <f>ЭТАПЫ!C8+Решение!C12</f>
        <v>800</v>
      </c>
      <c r="D15" s="69">
        <f>ЭТАПЫ!D8+Решение!D12</f>
        <v>900</v>
      </c>
      <c r="E15" s="51"/>
      <c r="G15" s="11">
        <f t="shared" ca="1" si="0"/>
        <v>150</v>
      </c>
      <c r="H15" s="12">
        <f t="shared" ca="1" si="1"/>
        <v>800</v>
      </c>
      <c r="I15" s="13">
        <f t="shared" ca="1" si="2"/>
        <v>900</v>
      </c>
    </row>
    <row r="16" spans="1:10" ht="15.75" thickBot="1">
      <c r="A16" s="60"/>
      <c r="B16" s="49"/>
      <c r="C16" s="49"/>
      <c r="D16" s="49"/>
      <c r="E16" s="61"/>
      <c r="G16" s="11">
        <f t="shared" ca="1" si="0"/>
        <v>0</v>
      </c>
      <c r="H16" s="12">
        <f t="shared" ca="1" si="1"/>
        <v>0</v>
      </c>
      <c r="I16" s="13">
        <f t="shared" ca="1" si="2"/>
        <v>0</v>
      </c>
    </row>
    <row r="17" spans="1:9" ht="15">
      <c r="A17" s="109" t="s">
        <v>0</v>
      </c>
      <c r="B17" s="127" t="s">
        <v>17</v>
      </c>
      <c r="C17" s="112"/>
      <c r="D17" s="112"/>
      <c r="E17" s="113"/>
      <c r="G17" s="11" t="str">
        <f t="shared" ca="1" si="0"/>
        <v>Результат в конце этапа</v>
      </c>
      <c r="H17" s="12">
        <f t="shared" ca="1" si="1"/>
        <v>0</v>
      </c>
      <c r="I17" s="13">
        <f t="shared" ca="1" si="2"/>
        <v>0</v>
      </c>
    </row>
    <row r="18" spans="1:9" ht="15.75" thickBot="1">
      <c r="A18" s="110"/>
      <c r="B18" s="39" t="s">
        <v>5</v>
      </c>
      <c r="C18" s="28" t="s">
        <v>6</v>
      </c>
      <c r="D18" s="28" t="s">
        <v>7</v>
      </c>
      <c r="E18" s="33" t="s">
        <v>24</v>
      </c>
      <c r="G18" s="11" t="str">
        <f t="shared" ca="1" si="0"/>
        <v>ЦБ1</v>
      </c>
      <c r="H18" s="12" t="str">
        <f t="shared" ca="1" si="1"/>
        <v>ЦБ2</v>
      </c>
      <c r="I18" s="13" t="str">
        <f t="shared" ca="1" si="2"/>
        <v>Деп.</v>
      </c>
    </row>
    <row r="19" spans="1:9" ht="15">
      <c r="A19" s="40" t="s">
        <v>18</v>
      </c>
      <c r="B19" s="71">
        <f>ЭТАПЫ!C3*Решение!$B$15</f>
        <v>180</v>
      </c>
      <c r="C19" s="72">
        <f>ЭТАПЫ!D3*Решение!$C$15</f>
        <v>880.00000000000011</v>
      </c>
      <c r="D19" s="73">
        <f>ЭТАПЫ!E3*Решение!$D$15</f>
        <v>963</v>
      </c>
      <c r="E19" s="74">
        <f>SUM(B19:D19)</f>
        <v>2023</v>
      </c>
      <c r="G19" s="11">
        <f t="shared" ca="1" si="0"/>
        <v>180</v>
      </c>
      <c r="H19" s="12">
        <f t="shared" ca="1" si="1"/>
        <v>880.00000000000011</v>
      </c>
      <c r="I19" s="13">
        <f t="shared" ca="1" si="2"/>
        <v>963</v>
      </c>
    </row>
    <row r="20" spans="1:9" ht="15">
      <c r="A20" s="31" t="s">
        <v>19</v>
      </c>
      <c r="B20" s="23">
        <f>ЭТАПЫ!C4*Решение!$B$15</f>
        <v>157.5</v>
      </c>
      <c r="C20" s="17">
        <f>ЭТАПЫ!D4*Решение!$C$15</f>
        <v>816</v>
      </c>
      <c r="D20" s="75">
        <f>ЭТАПЫ!E4*Решение!$D$15</f>
        <v>927</v>
      </c>
      <c r="E20" s="76">
        <f>SUM(B20:D20)</f>
        <v>1900.5</v>
      </c>
      <c r="G20" s="11">
        <f t="shared" ca="1" si="0"/>
        <v>157.5</v>
      </c>
      <c r="H20" s="12">
        <f t="shared" ca="1" si="1"/>
        <v>816</v>
      </c>
      <c r="I20" s="13">
        <f t="shared" ca="1" si="2"/>
        <v>927</v>
      </c>
    </row>
    <row r="21" spans="1:9" ht="15.75" thickBot="1">
      <c r="A21" s="32" t="s">
        <v>20</v>
      </c>
      <c r="B21" s="77">
        <f>ЭТАПЫ!C5*Решение!$B$15</f>
        <v>120</v>
      </c>
      <c r="C21" s="78">
        <f>ЭТАПЫ!D5*Решение!$C$15</f>
        <v>760</v>
      </c>
      <c r="D21" s="79">
        <f>ЭТАПЫ!E5*Решение!$D$15</f>
        <v>900</v>
      </c>
      <c r="E21" s="80">
        <f>SUM(B21:D21)</f>
        <v>1780</v>
      </c>
      <c r="G21" s="11">
        <f t="shared" ca="1" si="0"/>
        <v>120</v>
      </c>
      <c r="H21" s="12">
        <f t="shared" ca="1" si="1"/>
        <v>760</v>
      </c>
      <c r="I21" s="13">
        <f t="shared" ca="1" si="2"/>
        <v>900</v>
      </c>
    </row>
    <row r="22" spans="1:9" ht="15.75" thickBot="1">
      <c r="A22" s="43" t="s">
        <v>26</v>
      </c>
      <c r="B22" s="67">
        <f>SUMPRODUCT(ЭТАПЫ!$B$3:$B$5,B19:B21)</f>
        <v>167.25</v>
      </c>
      <c r="C22" s="68">
        <f>SUMPRODUCT(ЭТАПЫ!$B$3:$B$5,C19:C21)</f>
        <v>848.8</v>
      </c>
      <c r="D22" s="69">
        <f>SUMPRODUCT(ЭТАПЫ!$B$3:$B$5,D19:D21)</f>
        <v>945.89999999999986</v>
      </c>
      <c r="E22" s="81">
        <f>SUM(B22:D22)</f>
        <v>1961.9499999999998</v>
      </c>
      <c r="G22" s="11">
        <f t="shared" ca="1" si="0"/>
        <v>167.25</v>
      </c>
      <c r="H22" s="12">
        <f t="shared" ca="1" si="1"/>
        <v>848.8</v>
      </c>
      <c r="I22" s="13">
        <f t="shared" ca="1" si="2"/>
        <v>945.89999999999986</v>
      </c>
    </row>
    <row r="23" spans="1:9" ht="15.75" thickBot="1">
      <c r="A23" s="44"/>
      <c r="B23" s="45"/>
      <c r="C23" s="45"/>
      <c r="D23" s="45"/>
      <c r="E23" s="62"/>
      <c r="G23" s="11">
        <f t="shared" ca="1" si="0"/>
        <v>0</v>
      </c>
      <c r="H23" s="12">
        <f t="shared" ca="1" si="1"/>
        <v>0</v>
      </c>
      <c r="I23" s="13">
        <f t="shared" ca="1" si="2"/>
        <v>0</v>
      </c>
    </row>
    <row r="24" spans="1:9" ht="15.75" thickBot="1">
      <c r="A24" s="117" t="s">
        <v>34</v>
      </c>
      <c r="B24" s="118"/>
      <c r="C24" s="118"/>
      <c r="D24" s="118"/>
      <c r="E24" s="119"/>
      <c r="G24" s="11">
        <f t="shared" ca="1" si="0"/>
        <v>0</v>
      </c>
      <c r="H24" s="12">
        <f t="shared" ca="1" si="1"/>
        <v>0</v>
      </c>
      <c r="I24" s="13">
        <f t="shared" ca="1" si="2"/>
        <v>0</v>
      </c>
    </row>
    <row r="25" spans="1:9" ht="15">
      <c r="A25" s="122"/>
      <c r="B25" s="124" t="s">
        <v>27</v>
      </c>
      <c r="C25" s="124"/>
      <c r="D25" s="125"/>
      <c r="E25" s="120" t="s">
        <v>25</v>
      </c>
      <c r="G25" s="11" t="str">
        <f t="shared" ca="1" si="0"/>
        <v>Переменные</v>
      </c>
      <c r="H25" s="12">
        <f t="shared" ca="1" si="1"/>
        <v>0</v>
      </c>
      <c r="I25" s="13">
        <f t="shared" ca="1" si="2"/>
        <v>0</v>
      </c>
    </row>
    <row r="26" spans="1:9" ht="15">
      <c r="A26" s="123"/>
      <c r="B26" s="2" t="s">
        <v>29</v>
      </c>
      <c r="C26" s="1" t="s">
        <v>30</v>
      </c>
      <c r="D26" s="55" t="s">
        <v>31</v>
      </c>
      <c r="E26" s="121"/>
      <c r="G26" s="11" t="str">
        <f t="shared" ca="1" si="0"/>
        <v>Сколько шагов добавить в ЦБ1</v>
      </c>
      <c r="H26" s="12" t="str">
        <f t="shared" ca="1" si="1"/>
        <v>Сколько шагов добавить в ЦБ2</v>
      </c>
      <c r="I26" s="13" t="str">
        <f t="shared" ca="1" si="2"/>
        <v>Сколько шагов добавить в Деп.</v>
      </c>
    </row>
    <row r="27" spans="1:9" ht="15.75" thickBot="1">
      <c r="A27" s="123"/>
      <c r="B27" s="99" t="s">
        <v>14</v>
      </c>
      <c r="C27" s="9" t="s">
        <v>15</v>
      </c>
      <c r="D27" s="10" t="s">
        <v>16</v>
      </c>
      <c r="E27" s="121"/>
      <c r="G27" s="11" t="str">
        <f t="shared" ca="1" si="0"/>
        <v>x1</v>
      </c>
      <c r="H27" s="12" t="str">
        <f t="shared" ca="1" si="1"/>
        <v>x2</v>
      </c>
      <c r="I27" s="13" t="str">
        <f t="shared" ca="1" si="2"/>
        <v>x3</v>
      </c>
    </row>
    <row r="28" spans="1:9" ht="15" thickBot="1">
      <c r="A28" s="47"/>
      <c r="B28" s="64">
        <v>-5</v>
      </c>
      <c r="C28" s="65">
        <v>0</v>
      </c>
      <c r="D28" s="66">
        <v>0</v>
      </c>
      <c r="E28" s="126"/>
      <c r="G28" s="11">
        <f t="shared" ca="1" si="0"/>
        <v>-5</v>
      </c>
      <c r="H28" s="12">
        <f t="shared" ca="1" si="1"/>
        <v>0</v>
      </c>
      <c r="I28" s="13">
        <f t="shared" ca="1" si="2"/>
        <v>0</v>
      </c>
    </row>
    <row r="29" spans="1:9" ht="15.75" thickBot="1">
      <c r="A29" s="63" t="s">
        <v>32</v>
      </c>
      <c r="B29" s="67">
        <f>B28*ЭТАПЫ!B9</f>
        <v>-125</v>
      </c>
      <c r="C29" s="68">
        <f>C28*ЭТАПЫ!C9</f>
        <v>0</v>
      </c>
      <c r="D29" s="69">
        <f>D28*ЭТАПЫ!D9</f>
        <v>0</v>
      </c>
      <c r="E29" s="82">
        <f>E12-B29-C29-D29-ABS(B29)*ЭТАПЫ!A17-ABS(Решение!C29)*ЭТАПЫ!B17-ABS(Решение!D29)*ЭТАПЫ!C17</f>
        <v>143</v>
      </c>
      <c r="G29" s="11">
        <f t="shared" ca="1" si="0"/>
        <v>-125</v>
      </c>
      <c r="H29" s="12">
        <f t="shared" ca="1" si="1"/>
        <v>0</v>
      </c>
      <c r="I29" s="13">
        <f t="shared" ca="1" si="2"/>
        <v>0</v>
      </c>
    </row>
    <row r="30" spans="1:9" ht="15.75" thickBot="1">
      <c r="A30" s="44"/>
      <c r="B30" s="45"/>
      <c r="C30" s="45"/>
      <c r="D30" s="45"/>
      <c r="E30" s="62"/>
      <c r="G30" s="11">
        <f t="shared" ca="1" si="0"/>
        <v>0</v>
      </c>
      <c r="H30" s="12">
        <f t="shared" ca="1" si="1"/>
        <v>0</v>
      </c>
      <c r="I30" s="13">
        <f t="shared" ca="1" si="2"/>
        <v>0</v>
      </c>
    </row>
    <row r="31" spans="1:9" ht="15.75" thickBot="1">
      <c r="A31" s="120" t="s">
        <v>28</v>
      </c>
      <c r="B31" s="36" t="s">
        <v>21</v>
      </c>
      <c r="C31" s="37" t="s">
        <v>22</v>
      </c>
      <c r="D31" s="38" t="s">
        <v>23</v>
      </c>
      <c r="E31" s="62"/>
      <c r="G31" s="11" t="str">
        <f t="shared" ca="1" si="0"/>
        <v>Всего ЦБ1</v>
      </c>
      <c r="H31" s="12" t="str">
        <f t="shared" ca="1" si="1"/>
        <v>Всего ЦБ2</v>
      </c>
      <c r="I31" s="13" t="str">
        <f t="shared" ca="1" si="2"/>
        <v>Всего Деп.</v>
      </c>
    </row>
    <row r="32" spans="1:9" ht="15" thickBot="1">
      <c r="A32" s="131"/>
      <c r="B32" s="67">
        <f>B22+B29</f>
        <v>42.25</v>
      </c>
      <c r="C32" s="68">
        <f>C22+C29</f>
        <v>848.8</v>
      </c>
      <c r="D32" s="69">
        <f>D22+D29</f>
        <v>945.89999999999986</v>
      </c>
      <c r="E32" s="62"/>
      <c r="G32" s="11">
        <f t="shared" ca="1" si="0"/>
        <v>42.25</v>
      </c>
      <c r="H32" s="12">
        <f t="shared" ca="1" si="1"/>
        <v>848.8</v>
      </c>
      <c r="I32" s="13">
        <f t="shared" ca="1" si="2"/>
        <v>945.89999999999986</v>
      </c>
    </row>
    <row r="33" spans="1:9" ht="15.75" thickBot="1">
      <c r="A33" s="44"/>
      <c r="B33" s="45"/>
      <c r="C33" s="45"/>
      <c r="D33" s="45"/>
      <c r="E33" s="62"/>
      <c r="G33" s="11">
        <f t="shared" ca="1" si="0"/>
        <v>0</v>
      </c>
      <c r="H33" s="12">
        <f t="shared" ca="1" si="1"/>
        <v>0</v>
      </c>
      <c r="I33" s="13">
        <f t="shared" ca="1" si="2"/>
        <v>0</v>
      </c>
    </row>
    <row r="34" spans="1:9" ht="15">
      <c r="A34" s="120" t="s">
        <v>0</v>
      </c>
      <c r="B34" s="128" t="s">
        <v>17</v>
      </c>
      <c r="C34" s="124"/>
      <c r="D34" s="124"/>
      <c r="E34" s="125"/>
      <c r="G34" s="11" t="str">
        <f t="shared" ca="1" si="0"/>
        <v>Результат в конце этапа</v>
      </c>
      <c r="H34" s="12">
        <f t="shared" ca="1" si="1"/>
        <v>0</v>
      </c>
      <c r="I34" s="13">
        <f t="shared" ca="1" si="2"/>
        <v>0</v>
      </c>
    </row>
    <row r="35" spans="1:9" ht="15.75" thickBot="1">
      <c r="A35" s="126"/>
      <c r="B35" s="39" t="s">
        <v>5</v>
      </c>
      <c r="C35" s="28" t="s">
        <v>6</v>
      </c>
      <c r="D35" s="28" t="s">
        <v>7</v>
      </c>
      <c r="E35" s="33" t="s">
        <v>24</v>
      </c>
      <c r="G35" s="11" t="str">
        <f t="shared" ca="1" si="0"/>
        <v>ЦБ1</v>
      </c>
      <c r="H35" s="12" t="str">
        <f t="shared" ca="1" si="1"/>
        <v>ЦБ2</v>
      </c>
      <c r="I35" s="13" t="str">
        <f t="shared" ca="1" si="2"/>
        <v>Деп.</v>
      </c>
    </row>
    <row r="36" spans="1:9" ht="15">
      <c r="A36" s="40" t="s">
        <v>18</v>
      </c>
      <c r="B36" s="71">
        <f>ЭТАПЫ!G3*B$32</f>
        <v>59.15</v>
      </c>
      <c r="C36" s="72">
        <f>ЭТАПЫ!H3*C$32</f>
        <v>976.11999999999989</v>
      </c>
      <c r="D36" s="83">
        <f>ЭТАПЫ!I3*D$32</f>
        <v>955.35899999999992</v>
      </c>
      <c r="E36" s="84">
        <f>SUM(B36:D36)</f>
        <v>1990.6289999999999</v>
      </c>
      <c r="G36" s="11">
        <f t="shared" ca="1" si="0"/>
        <v>59.15</v>
      </c>
      <c r="H36" s="12">
        <f t="shared" ca="1" si="1"/>
        <v>976.11999999999989</v>
      </c>
      <c r="I36" s="13">
        <f t="shared" ca="1" si="2"/>
        <v>955.35899999999992</v>
      </c>
    </row>
    <row r="37" spans="1:9" ht="15">
      <c r="A37" s="31" t="s">
        <v>19</v>
      </c>
      <c r="B37" s="23">
        <f>ЭТАПЫ!G4*B$32</f>
        <v>44.362500000000004</v>
      </c>
      <c r="C37" s="17">
        <f>ЭТАПЫ!H4*C$32</f>
        <v>848.8</v>
      </c>
      <c r="D37" s="19">
        <f>ЭТАПЫ!I4*D$32</f>
        <v>945.89999999999986</v>
      </c>
      <c r="E37" s="85">
        <f>SUM(B37:D37)</f>
        <v>1839.0624999999998</v>
      </c>
      <c r="G37" s="11">
        <f t="shared" ca="1" si="0"/>
        <v>44.362500000000004</v>
      </c>
      <c r="H37" s="12">
        <f t="shared" ca="1" si="1"/>
        <v>848.8</v>
      </c>
      <c r="I37" s="13">
        <f t="shared" ca="1" si="2"/>
        <v>945.89999999999986</v>
      </c>
    </row>
    <row r="38" spans="1:9" ht="15.75" thickBot="1">
      <c r="A38" s="32" t="s">
        <v>20</v>
      </c>
      <c r="B38" s="77">
        <f>ЭТАПЫ!G5*B$32</f>
        <v>25.349999999999998</v>
      </c>
      <c r="C38" s="78">
        <f>ЭТАПЫ!H5*C$32</f>
        <v>763.92</v>
      </c>
      <c r="D38" s="86">
        <f>ЭТАПЫ!I5*D$32</f>
        <v>945.89999999999986</v>
      </c>
      <c r="E38" s="87">
        <f>SUM(B38:D38)</f>
        <v>1735.1699999999998</v>
      </c>
      <c r="G38" s="11">
        <f t="shared" ca="1" si="0"/>
        <v>25.349999999999998</v>
      </c>
      <c r="H38" s="12">
        <f t="shared" ca="1" si="1"/>
        <v>763.92</v>
      </c>
      <c r="I38" s="13">
        <f t="shared" ca="1" si="2"/>
        <v>945.89999999999986</v>
      </c>
    </row>
    <row r="39" spans="1:9" ht="15.75" thickBot="1">
      <c r="A39" s="43" t="s">
        <v>26</v>
      </c>
      <c r="B39" s="67">
        <f>SUMPRODUCT(ЭТАПЫ!$F$3:$F$5,B36:B38)</f>
        <v>39.292499999999997</v>
      </c>
      <c r="C39" s="68">
        <f>SUMPRODUCT(ЭТАПЫ!$F$3:$F$5,C36:C38)</f>
        <v>844.55599999999993</v>
      </c>
      <c r="D39" s="69">
        <f>SUMPRODUCT(ЭТАПЫ!$F$3:$F$5,D36:D38)</f>
        <v>948.7376999999999</v>
      </c>
      <c r="E39" s="81">
        <f>SUM(B39:D39)</f>
        <v>1832.5861999999997</v>
      </c>
      <c r="G39" s="11">
        <f t="shared" ca="1" si="0"/>
        <v>39.292499999999997</v>
      </c>
      <c r="H39" s="12">
        <f t="shared" ca="1" si="1"/>
        <v>844.55599999999993</v>
      </c>
      <c r="I39" s="13">
        <f t="shared" ca="1" si="2"/>
        <v>948.7376999999999</v>
      </c>
    </row>
    <row r="40" spans="1:9" ht="15.75" thickBot="1">
      <c r="A40" s="89"/>
      <c r="E40" s="90"/>
      <c r="G40" s="11">
        <f t="shared" ca="1" si="0"/>
        <v>0</v>
      </c>
      <c r="H40" s="12">
        <f t="shared" ca="1" si="1"/>
        <v>0</v>
      </c>
      <c r="I40" s="13">
        <f t="shared" ca="1" si="2"/>
        <v>0</v>
      </c>
    </row>
    <row r="41" spans="1:9" ht="15.75" thickBot="1">
      <c r="A41" s="117" t="s">
        <v>35</v>
      </c>
      <c r="B41" s="118"/>
      <c r="C41" s="118"/>
      <c r="D41" s="118"/>
      <c r="E41" s="119"/>
      <c r="G41" s="11">
        <f t="shared" ca="1" si="0"/>
        <v>0</v>
      </c>
      <c r="H41" s="12">
        <f t="shared" ca="1" si="1"/>
        <v>0</v>
      </c>
      <c r="I41" s="13">
        <f t="shared" ca="1" si="2"/>
        <v>0</v>
      </c>
    </row>
    <row r="42" spans="1:9" ht="15">
      <c r="A42" s="122"/>
      <c r="B42" s="124" t="s">
        <v>27</v>
      </c>
      <c r="C42" s="124"/>
      <c r="D42" s="125"/>
      <c r="E42" s="120" t="s">
        <v>25</v>
      </c>
      <c r="G42" s="11" t="str">
        <f t="shared" ca="1" si="0"/>
        <v>Переменные</v>
      </c>
      <c r="H42" s="12">
        <f t="shared" ca="1" si="1"/>
        <v>0</v>
      </c>
      <c r="I42" s="13">
        <f t="shared" ca="1" si="2"/>
        <v>0</v>
      </c>
    </row>
    <row r="43" spans="1:9" ht="15">
      <c r="A43" s="123"/>
      <c r="B43" s="2" t="s">
        <v>29</v>
      </c>
      <c r="C43" s="1" t="s">
        <v>30</v>
      </c>
      <c r="D43" s="55" t="s">
        <v>31</v>
      </c>
      <c r="E43" s="121"/>
      <c r="G43" s="11" t="str">
        <f t="shared" ca="1" si="0"/>
        <v>Сколько шагов добавить в ЦБ1</v>
      </c>
      <c r="H43" s="12" t="str">
        <f t="shared" ca="1" si="1"/>
        <v>Сколько шагов добавить в ЦБ2</v>
      </c>
      <c r="I43" s="13" t="str">
        <f t="shared" ca="1" si="2"/>
        <v>Сколько шагов добавить в Деп.</v>
      </c>
    </row>
    <row r="44" spans="1:9" ht="15.75" thickBot="1">
      <c r="A44" s="123"/>
      <c r="B44" s="99" t="s">
        <v>14</v>
      </c>
      <c r="C44" s="9" t="s">
        <v>15</v>
      </c>
      <c r="D44" s="10" t="s">
        <v>16</v>
      </c>
      <c r="E44" s="121"/>
      <c r="G44" s="11" t="str">
        <f t="shared" ca="1" si="0"/>
        <v>x1</v>
      </c>
      <c r="H44" s="12" t="str">
        <f t="shared" ca="1" si="1"/>
        <v>x2</v>
      </c>
      <c r="I44" s="13" t="str">
        <f t="shared" ca="1" si="2"/>
        <v>x3</v>
      </c>
    </row>
    <row r="45" spans="1:9" ht="15" thickBot="1">
      <c r="A45" s="47"/>
      <c r="B45" s="64">
        <v>0</v>
      </c>
      <c r="C45" s="65">
        <v>0</v>
      </c>
      <c r="D45" s="66">
        <v>0</v>
      </c>
      <c r="E45" s="126"/>
      <c r="G45" s="11">
        <f t="shared" ca="1" si="0"/>
        <v>0</v>
      </c>
      <c r="H45" s="12">
        <f t="shared" ca="1" si="1"/>
        <v>0</v>
      </c>
      <c r="I45" s="13">
        <f t="shared" ca="1" si="2"/>
        <v>0</v>
      </c>
    </row>
    <row r="46" spans="1:9" ht="15.75" thickBot="1">
      <c r="A46" s="63" t="s">
        <v>32</v>
      </c>
      <c r="B46" s="67">
        <f>B45*ЭТАПЫ!B9</f>
        <v>0</v>
      </c>
      <c r="C46" s="68">
        <f>C45*ЭТАПЫ!C9</f>
        <v>0</v>
      </c>
      <c r="D46" s="69">
        <f>D45*ЭТАПЫ!D9</f>
        <v>0</v>
      </c>
      <c r="E46" s="82">
        <f>E29-B46-C46-D46-ABS(B46)*ЭТАПЫ!A17-ABS(Решение!C46)*ЭТАПЫ!B17-ABS(Решение!D46)*ЭТАПЫ!C17</f>
        <v>143</v>
      </c>
      <c r="G46" s="11">
        <f t="shared" ca="1" si="0"/>
        <v>0</v>
      </c>
      <c r="H46" s="12">
        <f t="shared" ca="1" si="1"/>
        <v>0</v>
      </c>
      <c r="I46" s="13">
        <f t="shared" ca="1" si="2"/>
        <v>0</v>
      </c>
    </row>
    <row r="47" spans="1:9" ht="15" thickBot="1">
      <c r="A47" s="44"/>
      <c r="B47" s="45"/>
      <c r="C47" s="45"/>
      <c r="D47" s="45"/>
      <c r="E47" s="62"/>
      <c r="G47" s="11">
        <f t="shared" ca="1" si="0"/>
        <v>0</v>
      </c>
      <c r="H47" s="12">
        <f t="shared" ca="1" si="1"/>
        <v>0</v>
      </c>
      <c r="I47" s="13">
        <f t="shared" ca="1" si="2"/>
        <v>0</v>
      </c>
    </row>
    <row r="48" spans="1:9" ht="15.75" thickBot="1">
      <c r="A48" s="120" t="s">
        <v>28</v>
      </c>
      <c r="B48" s="36" t="s">
        <v>21</v>
      </c>
      <c r="C48" s="37" t="s">
        <v>22</v>
      </c>
      <c r="D48" s="38" t="s">
        <v>23</v>
      </c>
      <c r="E48" s="62"/>
      <c r="G48" s="11" t="str">
        <f t="shared" ca="1" si="0"/>
        <v>Всего ЦБ1</v>
      </c>
      <c r="H48" s="12" t="str">
        <f t="shared" ca="1" si="1"/>
        <v>Всего ЦБ2</v>
      </c>
      <c r="I48" s="13" t="str">
        <f t="shared" ca="1" si="2"/>
        <v>Всего Деп.</v>
      </c>
    </row>
    <row r="49" spans="1:9" ht="15" thickBot="1">
      <c r="A49" s="131"/>
      <c r="B49" s="67">
        <f>B39+B46</f>
        <v>39.292499999999997</v>
      </c>
      <c r="C49" s="68">
        <f>C39+C46</f>
        <v>844.55599999999993</v>
      </c>
      <c r="D49" s="69">
        <f>D39+D46</f>
        <v>948.7376999999999</v>
      </c>
      <c r="E49" s="62"/>
      <c r="G49" s="11">
        <f t="shared" ca="1" si="0"/>
        <v>39.292499999999997</v>
      </c>
      <c r="H49" s="12">
        <f t="shared" ca="1" si="1"/>
        <v>844.55599999999993</v>
      </c>
      <c r="I49" s="13">
        <f t="shared" ca="1" si="2"/>
        <v>948.7376999999999</v>
      </c>
    </row>
    <row r="50" spans="1:9" ht="15" thickBot="1">
      <c r="A50" s="44"/>
      <c r="B50" s="45"/>
      <c r="C50" s="45"/>
      <c r="D50" s="45"/>
      <c r="E50" s="62"/>
      <c r="G50" s="11">
        <f t="shared" ca="1" si="0"/>
        <v>0</v>
      </c>
      <c r="H50" s="12">
        <f t="shared" ca="1" si="1"/>
        <v>0</v>
      </c>
      <c r="I50" s="13">
        <f t="shared" ca="1" si="2"/>
        <v>0</v>
      </c>
    </row>
    <row r="51" spans="1:9" ht="15">
      <c r="A51" s="120" t="s">
        <v>0</v>
      </c>
      <c r="B51" s="128" t="s">
        <v>17</v>
      </c>
      <c r="C51" s="124"/>
      <c r="D51" s="124"/>
      <c r="E51" s="125"/>
      <c r="G51" s="11" t="str">
        <f t="shared" ca="1" si="0"/>
        <v>Результат в конце этапа</v>
      </c>
      <c r="H51" s="12">
        <f t="shared" ca="1" si="1"/>
        <v>0</v>
      </c>
      <c r="I51" s="13">
        <f t="shared" ca="1" si="2"/>
        <v>0</v>
      </c>
    </row>
    <row r="52" spans="1:9" ht="15.75" thickBot="1">
      <c r="A52" s="126"/>
      <c r="B52" s="39" t="s">
        <v>5</v>
      </c>
      <c r="C52" s="28" t="s">
        <v>6</v>
      </c>
      <c r="D52" s="28" t="s">
        <v>7</v>
      </c>
      <c r="E52" s="33" t="s">
        <v>24</v>
      </c>
      <c r="G52" s="11" t="str">
        <f t="shared" ca="1" si="0"/>
        <v>ЦБ1</v>
      </c>
      <c r="H52" s="12" t="str">
        <f t="shared" ca="1" si="1"/>
        <v>ЦБ2</v>
      </c>
      <c r="I52" s="13" t="str">
        <f t="shared" ca="1" si="2"/>
        <v>Деп.</v>
      </c>
    </row>
    <row r="53" spans="1:9" ht="15">
      <c r="A53" s="40" t="s">
        <v>18</v>
      </c>
      <c r="B53" s="71">
        <f>ЭТАПЫ!K3*B$49</f>
        <v>45.186374999999991</v>
      </c>
      <c r="C53" s="72">
        <f>ЭТАПЫ!L3*C$49</f>
        <v>945.90272000000004</v>
      </c>
      <c r="D53" s="83">
        <f>ЭТАПЫ!M3*D$49</f>
        <v>996.17458499999998</v>
      </c>
      <c r="E53" s="84">
        <f>SUM(B53:D53)</f>
        <v>1987.26368</v>
      </c>
      <c r="G53" s="11">
        <f t="shared" ca="1" si="0"/>
        <v>45.186374999999991</v>
      </c>
      <c r="H53" s="12">
        <f t="shared" ca="1" si="1"/>
        <v>945.90272000000004</v>
      </c>
      <c r="I53" s="13">
        <f t="shared" ca="1" si="2"/>
        <v>996.17458499999998</v>
      </c>
    </row>
    <row r="54" spans="1:9" ht="15">
      <c r="A54" s="31" t="s">
        <v>19</v>
      </c>
      <c r="B54" s="23">
        <f>ЭТАПЫ!K4*B$49</f>
        <v>41.257124999999995</v>
      </c>
      <c r="C54" s="17">
        <f>ЭТАПЫ!L4*C$49</f>
        <v>853.00155999999993</v>
      </c>
      <c r="D54" s="19">
        <f>ЭТАПЫ!M4*D$49</f>
        <v>958.22507699999994</v>
      </c>
      <c r="E54" s="85">
        <f>SUM(B54:D54)</f>
        <v>1852.4837619999998</v>
      </c>
      <c r="G54" s="11">
        <f t="shared" ca="1" si="0"/>
        <v>41.257124999999995</v>
      </c>
      <c r="H54" s="12">
        <f t="shared" ca="1" si="1"/>
        <v>853.00155999999993</v>
      </c>
      <c r="I54" s="13">
        <f t="shared" ca="1" si="2"/>
        <v>958.22507699999994</v>
      </c>
    </row>
    <row r="55" spans="1:9" ht="15.75" thickBot="1">
      <c r="A55" s="32" t="s">
        <v>20</v>
      </c>
      <c r="B55" s="77">
        <f>ЭТАПЫ!K5*B$49</f>
        <v>27.504749999999998</v>
      </c>
      <c r="C55" s="78">
        <f>ЭТАПЫ!L5*C$49</f>
        <v>793.88263999999992</v>
      </c>
      <c r="D55" s="86">
        <f>ЭТАПЫ!M5*D$49</f>
        <v>948.7376999999999</v>
      </c>
      <c r="E55" s="87">
        <f>SUM(B55:D55)</f>
        <v>1770.1250899999998</v>
      </c>
      <c r="G55" s="11">
        <f t="shared" ca="1" si="0"/>
        <v>27.504749999999998</v>
      </c>
      <c r="H55" s="12">
        <f t="shared" ca="1" si="1"/>
        <v>793.88263999999992</v>
      </c>
      <c r="I55" s="13">
        <f t="shared" ca="1" si="2"/>
        <v>948.7376999999999</v>
      </c>
    </row>
    <row r="56" spans="1:9" ht="15.75" thickBot="1">
      <c r="A56" s="43" t="s">
        <v>26</v>
      </c>
      <c r="B56" s="67">
        <f>SUMPRODUCT(ЭТАПЫ!$J$3:$J$5,B53:B55)</f>
        <v>40.07835</v>
      </c>
      <c r="C56" s="68">
        <f>SUMPRODUCT(ЭТАПЫ!$J$3:$J$5,C53:C55)</f>
        <v>878.33824000000004</v>
      </c>
      <c r="D56" s="69">
        <f>SUMPRODUCT(ЭТАПЫ!$J$3:$J$5,D53:D55)</f>
        <v>971.50740480000002</v>
      </c>
      <c r="E56" s="81">
        <f>SUM(B56:D56)</f>
        <v>1889.9239947999999</v>
      </c>
      <c r="G56" s="11">
        <f t="shared" ca="1" si="0"/>
        <v>40.07835</v>
      </c>
      <c r="H56" s="12">
        <f t="shared" ca="1" si="1"/>
        <v>878.33824000000004</v>
      </c>
      <c r="I56" s="13">
        <f t="shared" ca="1" si="2"/>
        <v>971.50740480000002</v>
      </c>
    </row>
    <row r="57" spans="1:9" ht="15" thickBot="1">
      <c r="A57" s="89"/>
      <c r="E57" s="90"/>
      <c r="G57" s="11">
        <f t="shared" ca="1" si="0"/>
        <v>0</v>
      </c>
      <c r="H57" s="12">
        <f t="shared" ca="1" si="1"/>
        <v>0</v>
      </c>
      <c r="I57" s="13">
        <f t="shared" ca="1" si="2"/>
        <v>0</v>
      </c>
    </row>
    <row r="58" spans="1:9" ht="15.75" thickBot="1">
      <c r="A58" s="129" t="s">
        <v>36</v>
      </c>
      <c r="B58" s="130"/>
      <c r="C58" s="130"/>
      <c r="D58" s="130"/>
      <c r="E58" s="88">
        <f>E56+E46</f>
        <v>2032.9239947999999</v>
      </c>
      <c r="G58" s="56">
        <f t="shared" ca="1" si="0"/>
        <v>0</v>
      </c>
      <c r="H58" s="57">
        <f t="shared" ca="1" si="1"/>
        <v>0</v>
      </c>
      <c r="I58" s="14">
        <f t="shared" ca="1" si="2"/>
        <v>0</v>
      </c>
    </row>
  </sheetData>
  <scenarios current="0">
    <scenario name="1" count="9" user="t_m_s_o_s_n" comment="Автор: t_m_s_o_s_n , 12/8/2025">
      <inputCells r="B11" val="72"/>
      <inputCells r="C11" val="-4"/>
      <inputCells r="D11" val="-4"/>
      <inputCells r="B28" val="-84"/>
      <inputCells r="C28" val="0"/>
      <inputCells r="D28" val="21"/>
      <inputCells r="B45" val="0"/>
      <inputCells r="C45" val="10"/>
      <inputCells r="D45" val="-20"/>
    </scenario>
  </scenarios>
  <mergeCells count="24">
    <mergeCell ref="A58:D58"/>
    <mergeCell ref="A1:E1"/>
    <mergeCell ref="A41:E41"/>
    <mergeCell ref="A42:A44"/>
    <mergeCell ref="B42:D42"/>
    <mergeCell ref="E42:E45"/>
    <mergeCell ref="A48:A49"/>
    <mergeCell ref="A31:A32"/>
    <mergeCell ref="A34:A35"/>
    <mergeCell ref="B34:E34"/>
    <mergeCell ref="B17:E17"/>
    <mergeCell ref="A17:A18"/>
    <mergeCell ref="A14:A15"/>
    <mergeCell ref="A25:A27"/>
    <mergeCell ref="B25:D25"/>
    <mergeCell ref="E25:E28"/>
    <mergeCell ref="B8:D8"/>
    <mergeCell ref="A51:A52"/>
    <mergeCell ref="B51:E51"/>
    <mergeCell ref="G1:I1"/>
    <mergeCell ref="B3:D3"/>
    <mergeCell ref="A24:E24"/>
    <mergeCell ref="A7:E7"/>
    <mergeCell ref="E8:E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ЭТАПЫ</vt:lpstr>
      <vt:lpstr>Решение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Коваленко Евгений Юрьевич</dc:creator>
  <cp:lastModifiedBy>Евгений Коваленко</cp:lastModifiedBy>
  <cp:lastPrinted>2025-12-07T20:11:29Z</cp:lastPrinted>
  <dcterms:created xsi:type="dcterms:W3CDTF">2025-12-07T14:54:56Z</dcterms:created>
  <dcterms:modified xsi:type="dcterms:W3CDTF">2025-12-16T17:02:19Z</dcterms:modified>
</cp:coreProperties>
</file>